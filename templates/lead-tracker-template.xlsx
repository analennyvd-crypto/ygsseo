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<sst xmlns="http://schemas.openxmlformats.org/spreadsheetml/2006/main" count="29" uniqueCount="27">
  <si>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YGS Brothers — Lead Tracker</t>
  </si>
  <si>
    <t xml:space="preserve">Log every call, text, or message here. Row 3 is an example — overwrite it with your first real lead.</t>
  </si>
  <si>
    <t xml:space="preserve">2026-08-17</t>
  </si>
  <si>
    <t xml:space="preserve">Maria Gomez</t>
  </si>
  <si>
    <t xml:space="preserve">(727) 555-0142</t>
  </si>
  <si>
    <t xml:space="preserve">Facebook Group</t>
  </si>
  <si>
    <t xml:space="preserve">Drywall repair</t>
  </si>
  <si>
    <t xml:space="preserve">Yes</t>
  </si>
  <si>
    <t xml:space="preserve">Found us in Clearwater Neighbors group</t>
  </si>
  <si>
    <t xml:space="preserve">Date</t>
  </si>
  <si>
    <t xml:space="preserve">Name</t>
  </si>
  <si>
    <t xml:space="preserve">Phone</t>
  </si>
  <si>
    <t xml:space="preserve">Source</t>
  </si>
  <si>
    <t xml:space="preserve">Job Type</t>
  </si>
  <si>
    <t xml:space="preserve">Estimate ($)</t>
  </si>
  <si>
    <t xml:space="preserve">Booked?</t>
  </si>
  <si>
    <t xml:space="preserve">Notes</t>
  </si>
  <si>
    <t xml:space="preserve">YGS Brothers — Lead Source Summary</t>
  </si>
  <si>
    <t xml:space="preserve">Updates automatically from the Leads tab.</t>
  </si>
  <si>
    <t xml:space="preserve">Total Leads</t>
  </si>
  <si>
    <t xml:space="preserve">Booked Jobs</t>
  </si>
  <si>
    <t xml:space="preserve">Conversion Rate</t>
  </si>
  <si>
    <t xml:space="preserve">Google Business Profile</t>
  </si>
  <si>
    <t xml:space="preserve">Craigslist</t>
  </si>
  <si>
    <t xml:space="preserve">Referral</t>
  </si>
  <si>
    <t xml:space="preserve">Other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</si>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</sst>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i val="true"/>
      <sz val="11"/>
      <color rgb="FF5B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FE7"/>
        <bgColor rgb="FFFFFFFF"/>
      </patternFill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993366"/>
      <rgbColor rgb="FFFCEF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n">
        <v>350</v>
      </c>
      <c r="G3" s="3" t="s">
        <v>7</v>
      </c>
      <c r="H3" s="3" t="s">
        <v>8</v>
      </c>
    </row>
    <row r="4" customFormat="false" ht="15" hidden="false" customHeight="fals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7"/>
      <c r="G5" s="6"/>
      <c r="H5" s="6"/>
    </row>
    <row r="6" customFormat="false" ht="15" hidden="false" customHeight="false" outlineLevel="0" collapsed="false">
      <c r="A6" s="6"/>
      <c r="B6" s="6"/>
      <c r="C6" s="6"/>
      <c r="D6" s="6"/>
      <c r="E6" s="6"/>
      <c r="F6" s="7"/>
      <c r="G6" s="6"/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7"/>
      <c r="G7" s="6"/>
      <c r="H7" s="6"/>
    </row>
    <row r="8" customFormat="false" ht="15" hidden="false" customHeight="false" outlineLevel="0" collapsed="false">
      <c r="A8" s="6"/>
      <c r="B8" s="6"/>
      <c r="C8" s="6"/>
      <c r="D8" s="6"/>
      <c r="E8" s="6"/>
      <c r="F8" s="7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7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7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7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7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7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7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7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7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7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7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7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7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7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7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7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7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7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7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7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7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7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7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7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7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7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7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7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7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7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7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7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7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7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7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7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7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7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7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7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7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7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7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7"/>
      <c r="G52" s="6"/>
      <c r="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7"/>
      <c r="G53" s="6"/>
      <c r="H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7"/>
      <c r="G54" s="6"/>
      <c r="H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7"/>
      <c r="G55" s="6"/>
      <c r="H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7"/>
      <c r="G56" s="6"/>
      <c r="H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7"/>
      <c r="G57" s="6"/>
      <c r="H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7"/>
      <c r="G58" s="6"/>
      <c r="H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7"/>
      <c r="G59" s="6"/>
      <c r="H59" s="6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D3:D200" type="list">
      <formula1>"Google Business Profile,Facebook Group,Craigslist,Referral,Other"</formula1>
      <formula2>0</formula2>
    </dataValidation>
    <dataValidation allowBlank="true" errorStyle="stop" operator="between" showDropDown="false" showErrorMessage="false" showInputMessage="false" sqref="G3:G200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4" customFormat="false" ht="15" hidden="false" customHeight="false" outlineLevel="0" collapsed="false">
      <c r="A4" s="5" t="s">
        <v>12</v>
      </c>
      <c r="B4" s="5" t="s">
        <v>19</v>
      </c>
      <c r="C4" s="5" t="s">
        <v>20</v>
      </c>
      <c r="D4" s="5" t="s">
        <v>21</v>
      </c>
    </row>
    <row r="5" customFormat="false" ht="15" hidden="false" customHeight="false" outlineLevel="0" collapsed="false">
      <c r="A5" s="6" t="s">
        <v>22</v>
      </c>
      <c r="B5" s="8" t="n">
        <f aca="false">COUNTIF(Leads!$D$3:$D$200,A5)</f>
        <v>0</v>
      </c>
      <c r="C5" s="8" t="n">
        <f aca="false">COUNTIFS(Leads!$D$3:$D$200,A5,Leads!$G$3:$G$200,"Yes")</f>
        <v>0</v>
      </c>
      <c r="D5" s="9" t="n">
        <f aca="false">IFERROR(C5/B5,0)</f>
        <v>0</v>
      </c>
    </row>
    <row r="6" customFormat="false" ht="15" hidden="false" customHeight="false" outlineLevel="0" collapsed="false">
      <c r="A6" s="6" t="s">
        <v>5</v>
      </c>
      <c r="B6" s="8" t="n">
        <f aca="false">COUNTIF(Leads!$D$3:$D$200,A6)</f>
        <v>1</v>
      </c>
      <c r="C6" s="8" t="n">
        <f aca="false">COUNTIFS(Leads!$D$3:$D$200,A6,Leads!$G$3:$G$200,"Yes")</f>
        <v>1</v>
      </c>
      <c r="D6" s="9" t="n">
        <f aca="false">IFERROR(C6/B6,0)</f>
        <v>1</v>
      </c>
    </row>
    <row r="7" customFormat="false" ht="15" hidden="false" customHeight="false" outlineLevel="0" collapsed="false">
      <c r="A7" s="6" t="s">
        <v>23</v>
      </c>
      <c r="B7" s="8" t="n">
        <f aca="false">COUNTIF(Leads!$D$3:$D$200,A7)</f>
        <v>0</v>
      </c>
      <c r="C7" s="8" t="n">
        <f aca="false">COUNTIFS(Leads!$D$3:$D$200,A7,Leads!$G$3:$G$200,"Yes")</f>
        <v>0</v>
      </c>
      <c r="D7" s="9" t="n">
        <f aca="false">IFERROR(C7/B7,0)</f>
        <v>0</v>
      </c>
    </row>
    <row r="8" customFormat="false" ht="15" hidden="false" customHeight="false" outlineLevel="0" collapsed="false">
      <c r="A8" s="6" t="s">
        <v>24</v>
      </c>
      <c r="B8" s="8" t="n">
        <f aca="false">COUNTIF(Leads!$D$3:$D$200,A8)</f>
        <v>0</v>
      </c>
      <c r="C8" s="8" t="n">
        <f aca="false">COUNTIFS(Leads!$D$3:$D$200,A8,Leads!$G$3:$G$200,"Yes")</f>
        <v>0</v>
      </c>
      <c r="D8" s="9" t="n">
        <f aca="false">IFERROR(C8/B8,0)</f>
        <v>0</v>
      </c>
    </row>
    <row r="9" customFormat="false" ht="15" hidden="false" customHeight="false" outlineLevel="0" collapsed="false">
      <c r="A9" s="6" t="s">
        <v>25</v>
      </c>
      <c r="B9" s="8" t="n">
        <f aca="false">COUNTIF(Leads!$D$3:$D$200,A9)</f>
        <v>0</v>
      </c>
      <c r="C9" s="8" t="n">
        <f aca="false">COUNTIFS(Leads!$D$3:$D$200,A9,Leads!$G$3:$G$200,"Yes")</f>
        <v>0</v>
      </c>
      <c r="D9" s="9" t="n">
        <f aca="false">IFERROR(C9/B9,0)</f>
        <v>0</v>
      </c>
    </row>
    <row r="10" customFormat="false" ht="15" hidden="false" customHeight="false" outlineLevel="0" collapsed="false">
      <c r="A10" s="10" t="s">
        <v>26</v>
      </c>
      <c r="B10" s="10" t="n">
        <f aca="false">SUM(B5:B9)</f>
        <v>1</v>
      </c>
      <c r="C10" s="10" t="n">
        <f aca="false">SUM(C5:C9)</f>
        <v>1</v>
      </c>
      <c r="D10" s="11" t="n">
        <f aca="false">IFERROR(C10/B10,0)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2026-08-18T01:18:32Z</dcterms:created>
  <dc:creator>openpyxl</dc:creator>
  <dc:description/>
  <dc:language>en-US</dc:language>
  <cp:lastModifiedBy/>
  <dcterms:modified xsi:type="dcterms:W3CDTF">2026-08-18T01:18:32Z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